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byas\Documents\Нопосон 2026\"/>
    </mc:Choice>
  </mc:AlternateContent>
  <xr:revisionPtr revIDLastSave="0" documentId="13_ncr:1_{A996208E-D2A0-4798-A8DA-B45774AE92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Прайс-лист" sheetId="1" r:id="rId1"/>
  </sheets>
  <definedNames>
    <definedName name="_xlnm._FilterDatabase" localSheetId="0" hidden="1">'Прайс-лист'!$A$2:$I$31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G31" i="1"/>
  <c r="E31" i="1"/>
  <c r="I30" i="1"/>
  <c r="G30" i="1"/>
  <c r="E30" i="1"/>
  <c r="I29" i="1"/>
  <c r="G29" i="1"/>
  <c r="E29" i="1"/>
  <c r="I28" i="1"/>
  <c r="G28" i="1"/>
  <c r="E28" i="1"/>
  <c r="I27" i="1"/>
  <c r="G27" i="1"/>
  <c r="E27" i="1"/>
  <c r="I26" i="1"/>
  <c r="G26" i="1"/>
  <c r="E26" i="1"/>
  <c r="I25" i="1"/>
  <c r="G25" i="1"/>
  <c r="E25" i="1"/>
  <c r="I24" i="1"/>
  <c r="G24" i="1"/>
  <c r="E24" i="1"/>
  <c r="I23" i="1"/>
  <c r="G23" i="1"/>
  <c r="E23" i="1"/>
  <c r="I22" i="1"/>
  <c r="G22" i="1"/>
  <c r="E22" i="1"/>
  <c r="I21" i="1"/>
  <c r="G21" i="1"/>
  <c r="E21" i="1"/>
  <c r="I20" i="1"/>
  <c r="G20" i="1"/>
  <c r="E20" i="1"/>
  <c r="I19" i="1"/>
  <c r="G19" i="1"/>
  <c r="E19" i="1"/>
  <c r="I18" i="1"/>
  <c r="G18" i="1"/>
  <c r="E18" i="1"/>
  <c r="I17" i="1"/>
  <c r="G17" i="1"/>
  <c r="E17" i="1"/>
  <c r="I16" i="1"/>
  <c r="G16" i="1"/>
  <c r="E16" i="1"/>
  <c r="I15" i="1"/>
  <c r="G15" i="1"/>
  <c r="E15" i="1"/>
  <c r="I14" i="1"/>
  <c r="G14" i="1"/>
  <c r="E14" i="1"/>
  <c r="I13" i="1"/>
  <c r="G13" i="1"/>
  <c r="E13" i="1"/>
  <c r="I12" i="1"/>
  <c r="G12" i="1"/>
  <c r="E12" i="1"/>
  <c r="I11" i="1"/>
  <c r="G11" i="1"/>
  <c r="E11" i="1"/>
  <c r="I10" i="1"/>
  <c r="G10" i="1"/>
  <c r="E10" i="1"/>
  <c r="I9" i="1"/>
  <c r="G9" i="1"/>
  <c r="E9" i="1"/>
  <c r="I8" i="1"/>
  <c r="G8" i="1"/>
  <c r="E8" i="1"/>
  <c r="I7" i="1"/>
  <c r="G7" i="1"/>
  <c r="E7" i="1"/>
  <c r="I6" i="1"/>
  <c r="G6" i="1"/>
  <c r="E6" i="1"/>
  <c r="I5" i="1"/>
  <c r="G5" i="1"/>
  <c r="E5" i="1"/>
  <c r="I4" i="1"/>
  <c r="G4" i="1"/>
  <c r="E4" i="1"/>
  <c r="I3" i="1"/>
  <c r="G3" i="1"/>
  <c r="E3" i="1"/>
</calcChain>
</file>

<file path=xl/sharedStrings.xml><?xml version="1.0" encoding="utf-8"?>
<sst xmlns="http://schemas.openxmlformats.org/spreadsheetml/2006/main" count="39" uniqueCount="39">
  <si>
    <t>№ з/п</t>
  </si>
  <si>
    <t>Назва препарату</t>
  </si>
  <si>
    <t>Базова ціна, у.о без ПДВ</t>
  </si>
  <si>
    <t>Ціна при 200 тис</t>
  </si>
  <si>
    <t>Знижка 200 тис, %</t>
  </si>
  <si>
    <t>Ціна при 150 тис</t>
  </si>
  <si>
    <t>Знижка 150 тис, %</t>
  </si>
  <si>
    <t>Ціна при 100 тис</t>
  </si>
  <si>
    <t>Знижка 100 тис, %</t>
  </si>
  <si>
    <t>АВАТАР (каністра 20 л)</t>
  </si>
  <si>
    <t>БАЛОР (каністра 5 л)</t>
  </si>
  <si>
    <t>БЕЛЕНУС (каністра 20 л)</t>
  </si>
  <si>
    <t>ГЕФ ЕСТ (каністра 20 л)</t>
  </si>
  <si>
    <t>ГЕФ ЕСТ ІДЕАЛ (мішок 10 кг)</t>
  </si>
  <si>
    <t>ГЕФ ЕСТ ПАУЕР (мішок 10 кг)</t>
  </si>
  <si>
    <t>ГЕФ ЕСТ ПРО (каністра 20 л)</t>
  </si>
  <si>
    <t>ГРОЗА (банка 0,5 кг)</t>
  </si>
  <si>
    <t>ЗАГРЕЙ (каністра 20 л)</t>
  </si>
  <si>
    <t>Клетект МЕГА (каністра 5 л)</t>
  </si>
  <si>
    <t>САТІС (каністра 5 л)</t>
  </si>
  <si>
    <t>ТІТОН (каністра 5 л)</t>
  </si>
  <si>
    <t>ТІТОН ДУО (каністра 20 л)</t>
  </si>
  <si>
    <t>ТОРЛАЙТІНГ (каністра 10 л)</t>
  </si>
  <si>
    <t>ХЕПІ СТАР (банка 0,5 кг)</t>
  </si>
  <si>
    <t>АКІНАК (каністра 5 л)</t>
  </si>
  <si>
    <t>НЕРІО (каністра 5 л)</t>
  </si>
  <si>
    <t>НІРВАНА (каністра 5 л)</t>
  </si>
  <si>
    <t>ХАДЕСОН (каністра 5 л)</t>
  </si>
  <si>
    <t>БЛОК (каністра 5 л)</t>
  </si>
  <si>
    <t>КАРБОН (каністра 5 л)</t>
  </si>
  <si>
    <t>КЕВЛАР (каністра 5 л)</t>
  </si>
  <si>
    <t>ЛІКОРІС (каністра 5 л)</t>
  </si>
  <si>
    <t>МІЛАНІТ (каністра 5 л)</t>
  </si>
  <si>
    <t>СПЕКА (каністра 20 л)</t>
  </si>
  <si>
    <t>БРИГІД (каністра 5 л)</t>
  </si>
  <si>
    <t>ЕРАТО (каністра 5 л)</t>
  </si>
  <si>
    <t>КлетАКТИВ (каністра 5 л)</t>
  </si>
  <si>
    <t>МЕГАЛИП ПАУЕР (каністра 5 л)</t>
  </si>
  <si>
    <t>Таблиця знижок до контракту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</si>
</sst>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00B05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0" fontId="3" fillId="0" borderId="0" xfId="0" applyFont="1"/>
    <xf numFmtId="2" fontId="4" fillId="0" borderId="0" xfId="0" applyNumberFormat="1" applyFont="1"/>
    <xf numFmtId="2" fontId="2" fillId="3" borderId="0" xfId="0" applyNumberFormat="1" applyFont="1" applyFill="1"/>
    <xf numFmtId="2" fontId="5" fillId="0" borderId="0" xfId="0" applyNumberFormat="1" applyFont="1"/>
    <xf numFmtId="2" fontId="2" fillId="4" borderId="0" xfId="0" applyNumberFormat="1" applyFont="1" applyFill="1"/>
    <xf numFmtId="0" fontId="2" fillId="5" borderId="0" xfId="0" applyFont="1" applyFill="1"/>
    <xf numFmtId="2" fontId="2" fillId="5" borderId="0" xfId="0" applyNumberFormat="1" applyFont="1" applyFill="1"/>
    <xf numFmtId="2" fontId="4" fillId="5" borderId="0" xfId="0" applyNumberFormat="1" applyFont="1" applyFill="1"/>
    <xf numFmtId="10" fontId="2" fillId="5" borderId="0" xfId="0" applyNumberFormat="1" applyFont="1" applyFill="1" applyAlignment="1">
      <alignment horizontal="center"/>
    </xf>
    <xf numFmtId="2" fontId="5" fillId="5" borderId="0" xfId="0" applyNumberFormat="1" applyFont="1" applyFill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pane ySplit="2" topLeftCell="A3" activePane="bottomLeft" state="frozen"/>
      <selection pane="bottomLeft" activeCell="C22" sqref="C22"/>
    </sheetView>
  </sheetViews>
  <sheetFormatPr defaultRowHeight="14.5" x14ac:dyDescent="0.35"/>
  <cols>
    <col min="1" max="1" width="6" customWidth="1"/>
    <col min="2" max="2" width="38" customWidth="1"/>
    <col min="3" max="3" width="16" customWidth="1"/>
    <col min="4" max="7" width="14" customWidth="1"/>
    <col min="8" max="8" width="13.81640625" customWidth="1"/>
    <col min="9" max="9" width="14" customWidth="1"/>
  </cols>
  <sheetData>
    <row r="1" spans="1:9" ht="18.5" x14ac:dyDescent="0.45">
      <c r="B1" s="4" t="s">
        <v>38</v>
      </c>
    </row>
    <row r="2" spans="1: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5.5" x14ac:dyDescent="0.35">
      <c r="A3" s="2">
        <v>1</v>
      </c>
      <c r="B3" s="2" t="s">
        <v>9</v>
      </c>
      <c r="C3" s="6">
        <v>3.95</v>
      </c>
      <c r="D3" s="5">
        <v>3.85</v>
      </c>
      <c r="E3" s="3">
        <f t="shared" ref="E3:E31" si="0">IFERROR(1-(D3/C3),"")</f>
        <v>2.5316455696202556E-2</v>
      </c>
      <c r="F3" s="8">
        <v>3.87</v>
      </c>
      <c r="G3" s="3">
        <f t="shared" ref="G3:G31" si="1">IFERROR(1-(F3/C3),"")</f>
        <v>2.0253164556962022E-2</v>
      </c>
      <c r="H3" s="7">
        <v>3.91</v>
      </c>
      <c r="I3" s="3">
        <f t="shared" ref="I3:I31" si="2">IFERROR(1-(H3/C3),"")</f>
        <v>1.0126582278481067E-2</v>
      </c>
    </row>
    <row r="4" spans="1:9" ht="15.5" x14ac:dyDescent="0.35">
      <c r="A4" s="2">
        <v>2</v>
      </c>
      <c r="B4" s="2" t="s">
        <v>10</v>
      </c>
      <c r="C4" s="6">
        <v>6.35</v>
      </c>
      <c r="D4" s="5">
        <v>5.7</v>
      </c>
      <c r="E4" s="3">
        <f t="shared" si="0"/>
        <v>0.10236220472440938</v>
      </c>
      <c r="F4" s="8">
        <v>5.94</v>
      </c>
      <c r="G4" s="3">
        <f t="shared" si="1"/>
        <v>6.4566929133858197E-2</v>
      </c>
      <c r="H4" s="7">
        <v>6.03</v>
      </c>
      <c r="I4" s="3">
        <f t="shared" si="2"/>
        <v>5.0393700787401463E-2</v>
      </c>
    </row>
    <row r="5" spans="1:9" ht="15.5" x14ac:dyDescent="0.35">
      <c r="A5" s="2">
        <v>3</v>
      </c>
      <c r="B5" s="2" t="s">
        <v>11</v>
      </c>
      <c r="C5" s="6">
        <v>3.9</v>
      </c>
      <c r="D5" s="5">
        <v>3.87</v>
      </c>
      <c r="E5" s="3">
        <f t="shared" si="0"/>
        <v>7.692307692307665E-3</v>
      </c>
      <c r="F5" s="8">
        <v>3.88</v>
      </c>
      <c r="G5" s="3">
        <f t="shared" si="1"/>
        <v>5.12820512820511E-3</v>
      </c>
      <c r="H5" s="7">
        <v>3.88</v>
      </c>
      <c r="I5" s="3">
        <f t="shared" si="2"/>
        <v>5.12820512820511E-3</v>
      </c>
    </row>
    <row r="6" spans="1:9" ht="15.5" x14ac:dyDescent="0.35">
      <c r="A6" s="2">
        <v>4</v>
      </c>
      <c r="B6" s="2" t="s">
        <v>12</v>
      </c>
      <c r="C6" s="6">
        <v>2.6</v>
      </c>
      <c r="D6" s="5">
        <v>2.4500000000000002</v>
      </c>
      <c r="E6" s="3">
        <f t="shared" si="0"/>
        <v>5.7692307692307709E-2</v>
      </c>
      <c r="F6" s="8">
        <v>2.4700000000000002</v>
      </c>
      <c r="G6" s="3">
        <f t="shared" si="1"/>
        <v>4.9999999999999933E-2</v>
      </c>
      <c r="H6" s="7">
        <v>2.5099999999999998</v>
      </c>
      <c r="I6" s="3">
        <f t="shared" si="2"/>
        <v>3.4615384615384714E-2</v>
      </c>
    </row>
    <row r="7" spans="1:9" ht="15.5" x14ac:dyDescent="0.35">
      <c r="A7" s="9">
        <v>5</v>
      </c>
      <c r="B7" s="9" t="s">
        <v>13</v>
      </c>
      <c r="C7" s="10">
        <v>5.45</v>
      </c>
      <c r="D7" s="11">
        <v>4.95</v>
      </c>
      <c r="E7" s="12">
        <f t="shared" si="0"/>
        <v>9.1743119266055051E-2</v>
      </c>
      <c r="F7" s="10">
        <v>5.15</v>
      </c>
      <c r="G7" s="12">
        <f t="shared" si="1"/>
        <v>5.5045871559633031E-2</v>
      </c>
      <c r="H7" s="13">
        <v>5.3</v>
      </c>
      <c r="I7" s="12">
        <f t="shared" si="2"/>
        <v>2.7522935779816571E-2</v>
      </c>
    </row>
    <row r="8" spans="1:9" ht="15.5" x14ac:dyDescent="0.35">
      <c r="A8" s="9">
        <v>6</v>
      </c>
      <c r="B8" s="9" t="s">
        <v>14</v>
      </c>
      <c r="C8" s="10">
        <v>6.6</v>
      </c>
      <c r="D8" s="11">
        <v>6.15</v>
      </c>
      <c r="E8" s="12">
        <f t="shared" si="0"/>
        <v>6.8181818181818121E-2</v>
      </c>
      <c r="F8" s="10">
        <v>6.25</v>
      </c>
      <c r="G8" s="12">
        <f t="shared" si="1"/>
        <v>5.3030303030302983E-2</v>
      </c>
      <c r="H8" s="13">
        <v>6.3</v>
      </c>
      <c r="I8" s="12">
        <f t="shared" si="2"/>
        <v>4.5454545454545414E-2</v>
      </c>
    </row>
    <row r="9" spans="1:9" ht="15.5" x14ac:dyDescent="0.35">
      <c r="A9" s="9">
        <v>7</v>
      </c>
      <c r="B9" s="9" t="s">
        <v>15</v>
      </c>
      <c r="C9" s="10">
        <v>3.9</v>
      </c>
      <c r="D9" s="11">
        <v>3.35</v>
      </c>
      <c r="E9" s="12">
        <f t="shared" si="0"/>
        <v>0.14102564102564097</v>
      </c>
      <c r="F9" s="10">
        <v>3.45</v>
      </c>
      <c r="G9" s="12">
        <f t="shared" si="1"/>
        <v>0.11538461538461531</v>
      </c>
      <c r="H9" s="13">
        <v>3.55</v>
      </c>
      <c r="I9" s="12">
        <f t="shared" si="2"/>
        <v>8.9743589743589758E-2</v>
      </c>
    </row>
    <row r="10" spans="1:9" ht="15.5" x14ac:dyDescent="0.35">
      <c r="A10" s="2">
        <v>9</v>
      </c>
      <c r="B10" s="2" t="s">
        <v>16</v>
      </c>
      <c r="C10" s="6">
        <v>20</v>
      </c>
      <c r="D10" s="5">
        <v>16</v>
      </c>
      <c r="E10" s="3">
        <f t="shared" si="0"/>
        <v>0.19999999999999996</v>
      </c>
      <c r="F10" s="8">
        <v>17.3</v>
      </c>
      <c r="G10" s="3">
        <f t="shared" si="1"/>
        <v>0.13500000000000001</v>
      </c>
      <c r="H10" s="7">
        <v>17.7</v>
      </c>
      <c r="I10" s="3">
        <f t="shared" si="2"/>
        <v>0.11499999999999999</v>
      </c>
    </row>
    <row r="11" spans="1:9" ht="15.5" x14ac:dyDescent="0.35">
      <c r="A11" s="2">
        <v>10</v>
      </c>
      <c r="B11" s="2" t="s">
        <v>17</v>
      </c>
      <c r="C11" s="6">
        <v>4</v>
      </c>
      <c r="D11" s="5">
        <v>3.9</v>
      </c>
      <c r="E11" s="3">
        <f t="shared" si="0"/>
        <v>2.5000000000000022E-2</v>
      </c>
      <c r="F11" s="8">
        <v>3.94</v>
      </c>
      <c r="G11" s="3">
        <f t="shared" si="1"/>
        <v>1.5000000000000013E-2</v>
      </c>
      <c r="H11" s="7">
        <v>3.96</v>
      </c>
      <c r="I11" s="3">
        <f t="shared" si="2"/>
        <v>1.0000000000000009E-2</v>
      </c>
    </row>
    <row r="12" spans="1:9" ht="15.5" x14ac:dyDescent="0.35">
      <c r="A12" s="2">
        <v>11</v>
      </c>
      <c r="B12" s="2" t="s">
        <v>18</v>
      </c>
      <c r="C12" s="6">
        <v>9.5</v>
      </c>
      <c r="D12" s="5">
        <v>8.5500000000000007</v>
      </c>
      <c r="E12" s="3">
        <f t="shared" si="0"/>
        <v>9.9999999999999978E-2</v>
      </c>
      <c r="F12" s="8">
        <v>8.76</v>
      </c>
      <c r="G12" s="3">
        <f t="shared" si="1"/>
        <v>7.7894736842105239E-2</v>
      </c>
      <c r="H12" s="7">
        <v>8.99</v>
      </c>
      <c r="I12" s="3">
        <f t="shared" si="2"/>
        <v>5.3684210526315779E-2</v>
      </c>
    </row>
    <row r="13" spans="1:9" ht="15.5" x14ac:dyDescent="0.35">
      <c r="A13" s="9">
        <v>12</v>
      </c>
      <c r="B13" s="9" t="s">
        <v>19</v>
      </c>
      <c r="C13" s="10">
        <v>4.5</v>
      </c>
      <c r="D13" s="11">
        <v>3.5</v>
      </c>
      <c r="E13" s="12">
        <f t="shared" si="0"/>
        <v>0.22222222222222221</v>
      </c>
      <c r="F13" s="10">
        <v>3.85</v>
      </c>
      <c r="G13" s="12">
        <f t="shared" si="1"/>
        <v>0.14444444444444438</v>
      </c>
      <c r="H13" s="13">
        <v>4</v>
      </c>
      <c r="I13" s="12">
        <f t="shared" si="2"/>
        <v>0.11111111111111116</v>
      </c>
    </row>
    <row r="14" spans="1:9" ht="15.5" x14ac:dyDescent="0.35">
      <c r="A14" s="2">
        <v>13</v>
      </c>
      <c r="B14" s="2" t="s">
        <v>20</v>
      </c>
      <c r="C14" s="6">
        <v>6.9</v>
      </c>
      <c r="D14" s="5">
        <v>5.8</v>
      </c>
      <c r="E14" s="3">
        <f t="shared" si="0"/>
        <v>0.15942028985507251</v>
      </c>
      <c r="F14" s="8">
        <v>6</v>
      </c>
      <c r="G14" s="3">
        <f t="shared" si="1"/>
        <v>0.13043478260869568</v>
      </c>
      <c r="H14" s="7">
        <v>6.2</v>
      </c>
      <c r="I14" s="3">
        <f t="shared" si="2"/>
        <v>0.10144927536231885</v>
      </c>
    </row>
    <row r="15" spans="1:9" ht="15.5" x14ac:dyDescent="0.35">
      <c r="A15" s="2">
        <v>14</v>
      </c>
      <c r="B15" s="2" t="s">
        <v>21</v>
      </c>
      <c r="C15" s="6">
        <v>7.9</v>
      </c>
      <c r="D15" s="5">
        <v>7.1</v>
      </c>
      <c r="E15" s="3">
        <f t="shared" si="0"/>
        <v>0.10126582278481022</v>
      </c>
      <c r="F15" s="8">
        <v>7.35</v>
      </c>
      <c r="G15" s="3">
        <f t="shared" si="1"/>
        <v>6.9620253164557E-2</v>
      </c>
      <c r="H15" s="7">
        <v>7.5</v>
      </c>
      <c r="I15" s="3">
        <f t="shared" si="2"/>
        <v>5.0632911392405111E-2</v>
      </c>
    </row>
    <row r="16" spans="1:9" ht="15.5" x14ac:dyDescent="0.35">
      <c r="A16" s="2">
        <v>15</v>
      </c>
      <c r="B16" s="2" t="s">
        <v>22</v>
      </c>
      <c r="C16" s="6">
        <v>8.8000000000000007</v>
      </c>
      <c r="D16" s="5">
        <v>6.6</v>
      </c>
      <c r="E16" s="3">
        <f t="shared" si="0"/>
        <v>0.25000000000000011</v>
      </c>
      <c r="F16" s="8">
        <v>7.3</v>
      </c>
      <c r="G16" s="3">
        <f t="shared" si="1"/>
        <v>0.17045454545454553</v>
      </c>
      <c r="H16" s="7">
        <v>8.1</v>
      </c>
      <c r="I16" s="3">
        <f t="shared" si="2"/>
        <v>7.9545454545454697E-2</v>
      </c>
    </row>
    <row r="17" spans="1:9" ht="15.5" x14ac:dyDescent="0.35">
      <c r="A17" s="2">
        <v>16</v>
      </c>
      <c r="B17" s="2" t="s">
        <v>23</v>
      </c>
      <c r="C17" s="6">
        <v>23.3</v>
      </c>
      <c r="D17" s="5">
        <v>18</v>
      </c>
      <c r="E17" s="3">
        <f t="shared" si="0"/>
        <v>0.22746781115879833</v>
      </c>
      <c r="F17" s="8">
        <v>18.649999999999999</v>
      </c>
      <c r="G17" s="3">
        <f t="shared" si="1"/>
        <v>0.19957081545064381</v>
      </c>
      <c r="H17" s="7">
        <v>19.11</v>
      </c>
      <c r="I17" s="3">
        <f t="shared" si="2"/>
        <v>0.17982832618025757</v>
      </c>
    </row>
    <row r="18" spans="1:9" ht="15.5" x14ac:dyDescent="0.35">
      <c r="A18" s="2">
        <v>17</v>
      </c>
      <c r="B18" s="2" t="s">
        <v>24</v>
      </c>
      <c r="C18" s="6">
        <v>6.5</v>
      </c>
      <c r="D18" s="5">
        <v>5.9</v>
      </c>
      <c r="E18" s="3">
        <f t="shared" si="0"/>
        <v>9.2307692307692202E-2</v>
      </c>
      <c r="F18" s="8">
        <v>6.08</v>
      </c>
      <c r="G18" s="3">
        <f t="shared" si="1"/>
        <v>6.461538461538463E-2</v>
      </c>
      <c r="H18" s="7">
        <v>6.14</v>
      </c>
      <c r="I18" s="3">
        <f t="shared" si="2"/>
        <v>5.5384615384615477E-2</v>
      </c>
    </row>
    <row r="19" spans="1:9" ht="15.5" x14ac:dyDescent="0.35">
      <c r="A19" s="2">
        <v>18</v>
      </c>
      <c r="B19" s="2" t="s">
        <v>25</v>
      </c>
      <c r="C19" s="6">
        <v>35.5</v>
      </c>
      <c r="D19" s="5">
        <v>33.700000000000003</v>
      </c>
      <c r="E19" s="3">
        <f t="shared" si="0"/>
        <v>5.0704225352112609E-2</v>
      </c>
      <c r="F19" s="8">
        <v>34.299999999999997</v>
      </c>
      <c r="G19" s="3">
        <f t="shared" si="1"/>
        <v>3.3802816901408517E-2</v>
      </c>
      <c r="H19" s="7">
        <v>34.9</v>
      </c>
      <c r="I19" s="3">
        <f t="shared" si="2"/>
        <v>1.6901408450704314E-2</v>
      </c>
    </row>
    <row r="20" spans="1:9" ht="15.5" x14ac:dyDescent="0.35">
      <c r="A20" s="9">
        <v>19</v>
      </c>
      <c r="B20" s="9" t="s">
        <v>26</v>
      </c>
      <c r="C20" s="10">
        <v>6.5</v>
      </c>
      <c r="D20" s="11">
        <v>5.85</v>
      </c>
      <c r="E20" s="12">
        <f t="shared" si="0"/>
        <v>0.10000000000000009</v>
      </c>
      <c r="F20" s="10">
        <v>5.98</v>
      </c>
      <c r="G20" s="12">
        <f t="shared" si="1"/>
        <v>7.999999999999996E-2</v>
      </c>
      <c r="H20" s="13">
        <v>6.2</v>
      </c>
      <c r="I20" s="12">
        <f t="shared" si="2"/>
        <v>4.6153846153846101E-2</v>
      </c>
    </row>
    <row r="21" spans="1:9" ht="15.5" x14ac:dyDescent="0.35">
      <c r="A21" s="2">
        <v>20</v>
      </c>
      <c r="B21" s="2" t="s">
        <v>27</v>
      </c>
      <c r="C21" s="6">
        <v>9.9</v>
      </c>
      <c r="D21" s="5">
        <v>9</v>
      </c>
      <c r="E21" s="3">
        <f t="shared" si="0"/>
        <v>9.0909090909090939E-2</v>
      </c>
      <c r="F21" s="8">
        <v>9.3000000000000007</v>
      </c>
      <c r="G21" s="3">
        <f t="shared" si="1"/>
        <v>6.0606060606060552E-2</v>
      </c>
      <c r="H21" s="7">
        <v>9.6</v>
      </c>
      <c r="I21" s="3">
        <f t="shared" si="2"/>
        <v>3.0303030303030387E-2</v>
      </c>
    </row>
    <row r="22" spans="1:9" ht="15.5" x14ac:dyDescent="0.35">
      <c r="A22" s="9">
        <v>21</v>
      </c>
      <c r="B22" s="9" t="s">
        <v>28</v>
      </c>
      <c r="C22" s="10">
        <v>5.9</v>
      </c>
      <c r="D22" s="11">
        <v>5.0999999999999996</v>
      </c>
      <c r="E22" s="12">
        <f t="shared" si="0"/>
        <v>0.13559322033898313</v>
      </c>
      <c r="F22" s="10">
        <v>5.25</v>
      </c>
      <c r="G22" s="12">
        <f t="shared" si="1"/>
        <v>0.11016949152542377</v>
      </c>
      <c r="H22" s="13">
        <v>5.4</v>
      </c>
      <c r="I22" s="12">
        <f t="shared" si="2"/>
        <v>8.4745762711864403E-2</v>
      </c>
    </row>
    <row r="23" spans="1:9" ht="15.5" x14ac:dyDescent="0.35">
      <c r="A23" s="2">
        <v>22</v>
      </c>
      <c r="B23" s="2" t="s">
        <v>29</v>
      </c>
      <c r="C23" s="6">
        <v>7.6</v>
      </c>
      <c r="D23" s="5">
        <v>6.84</v>
      </c>
      <c r="E23" s="3">
        <f t="shared" si="0"/>
        <v>9.9999999999999978E-2</v>
      </c>
      <c r="F23" s="8">
        <v>7.01</v>
      </c>
      <c r="G23" s="3">
        <f t="shared" si="1"/>
        <v>7.7631578947368385E-2</v>
      </c>
      <c r="H23" s="7">
        <v>7.18</v>
      </c>
      <c r="I23" s="3">
        <f t="shared" si="2"/>
        <v>5.5263157894736792E-2</v>
      </c>
    </row>
    <row r="24" spans="1:9" ht="15.5" x14ac:dyDescent="0.35">
      <c r="A24" s="2">
        <v>23</v>
      </c>
      <c r="B24" s="2" t="s">
        <v>30</v>
      </c>
      <c r="C24" s="6">
        <v>4.9000000000000004</v>
      </c>
      <c r="D24" s="5">
        <v>4.67</v>
      </c>
      <c r="E24" s="3">
        <f t="shared" si="0"/>
        <v>4.69387755102042E-2</v>
      </c>
      <c r="F24" s="8">
        <v>4.7300000000000004</v>
      </c>
      <c r="G24" s="3">
        <f t="shared" si="1"/>
        <v>3.469387755102038E-2</v>
      </c>
      <c r="H24" s="7">
        <v>4.78</v>
      </c>
      <c r="I24" s="3">
        <f t="shared" si="2"/>
        <v>2.4489795918367419E-2</v>
      </c>
    </row>
    <row r="25" spans="1:9" ht="15.5" x14ac:dyDescent="0.35">
      <c r="A25" s="9">
        <v>24</v>
      </c>
      <c r="B25" s="9" t="s">
        <v>31</v>
      </c>
      <c r="C25" s="10">
        <v>15</v>
      </c>
      <c r="D25" s="11">
        <v>12.1</v>
      </c>
      <c r="E25" s="12">
        <f t="shared" si="0"/>
        <v>0.19333333333333336</v>
      </c>
      <c r="F25" s="10">
        <v>12.5</v>
      </c>
      <c r="G25" s="12">
        <f t="shared" si="1"/>
        <v>0.16666666666666663</v>
      </c>
      <c r="H25" s="13">
        <v>12.9</v>
      </c>
      <c r="I25" s="12">
        <f t="shared" si="2"/>
        <v>0.14000000000000001</v>
      </c>
    </row>
    <row r="26" spans="1:9" ht="15.5" x14ac:dyDescent="0.35">
      <c r="A26" s="2">
        <v>25</v>
      </c>
      <c r="B26" s="2" t="s">
        <v>32</v>
      </c>
      <c r="C26" s="6">
        <v>12.5</v>
      </c>
      <c r="D26" s="5">
        <v>10.49</v>
      </c>
      <c r="E26" s="3">
        <f t="shared" si="0"/>
        <v>0.16079999999999994</v>
      </c>
      <c r="F26" s="8">
        <v>10.88</v>
      </c>
      <c r="G26" s="3">
        <f t="shared" si="1"/>
        <v>0.12959999999999994</v>
      </c>
      <c r="H26" s="7">
        <v>11.5</v>
      </c>
      <c r="I26" s="3">
        <f t="shared" si="2"/>
        <v>7.999999999999996E-2</v>
      </c>
    </row>
    <row r="27" spans="1:9" ht="15.5" x14ac:dyDescent="0.35">
      <c r="A27" s="2">
        <v>26</v>
      </c>
      <c r="B27" s="2" t="s">
        <v>33</v>
      </c>
      <c r="C27" s="6">
        <v>1.95</v>
      </c>
      <c r="D27" s="5">
        <v>1.85</v>
      </c>
      <c r="E27" s="3">
        <f t="shared" si="0"/>
        <v>5.1282051282051211E-2</v>
      </c>
      <c r="F27" s="8">
        <v>1.9</v>
      </c>
      <c r="G27" s="3">
        <f t="shared" si="1"/>
        <v>2.5641025641025661E-2</v>
      </c>
      <c r="H27" s="7">
        <v>1.93</v>
      </c>
      <c r="I27" s="3">
        <f t="shared" si="2"/>
        <v>1.025641025641022E-2</v>
      </c>
    </row>
    <row r="28" spans="1:9" ht="15.5" x14ac:dyDescent="0.35">
      <c r="A28" s="2">
        <v>27</v>
      </c>
      <c r="B28" s="2" t="s">
        <v>34</v>
      </c>
      <c r="C28" s="6">
        <v>19.5</v>
      </c>
      <c r="D28" s="5">
        <v>17.5</v>
      </c>
      <c r="E28" s="3">
        <f t="shared" si="0"/>
        <v>0.10256410256410253</v>
      </c>
      <c r="F28" s="8">
        <v>18.2</v>
      </c>
      <c r="G28" s="3">
        <f t="shared" si="1"/>
        <v>6.6666666666666652E-2</v>
      </c>
      <c r="H28" s="7">
        <v>18.899999999999999</v>
      </c>
      <c r="I28" s="3">
        <f t="shared" si="2"/>
        <v>3.0769230769230882E-2</v>
      </c>
    </row>
    <row r="29" spans="1:9" ht="15.5" x14ac:dyDescent="0.35">
      <c r="A29" s="2">
        <v>28</v>
      </c>
      <c r="B29" s="2" t="s">
        <v>35</v>
      </c>
      <c r="C29" s="6">
        <v>2.4900000000000002</v>
      </c>
      <c r="D29" s="5">
        <v>2.46</v>
      </c>
      <c r="E29" s="3">
        <f t="shared" si="0"/>
        <v>1.2048192771084487E-2</v>
      </c>
      <c r="F29" s="8">
        <v>2.4700000000000002</v>
      </c>
      <c r="G29" s="3">
        <f t="shared" si="1"/>
        <v>8.0321285140562138E-3</v>
      </c>
      <c r="H29" s="7">
        <v>2.48</v>
      </c>
      <c r="I29" s="3">
        <f t="shared" si="2"/>
        <v>4.0160642570281624E-3</v>
      </c>
    </row>
    <row r="30" spans="1:9" ht="15.5" x14ac:dyDescent="0.35">
      <c r="A30" s="2">
        <v>29</v>
      </c>
      <c r="B30" s="2" t="s">
        <v>36</v>
      </c>
      <c r="C30" s="6">
        <v>4.25</v>
      </c>
      <c r="D30" s="5">
        <v>4</v>
      </c>
      <c r="E30" s="3">
        <f t="shared" si="0"/>
        <v>5.8823529411764719E-2</v>
      </c>
      <c r="F30" s="8">
        <v>4.1100000000000003</v>
      </c>
      <c r="G30" s="3">
        <f t="shared" si="1"/>
        <v>3.294117647058814E-2</v>
      </c>
      <c r="H30" s="7">
        <v>4.18</v>
      </c>
      <c r="I30" s="3">
        <f t="shared" si="2"/>
        <v>1.6470588235294237E-2</v>
      </c>
    </row>
    <row r="31" spans="1:9" ht="15.5" x14ac:dyDescent="0.35">
      <c r="A31" s="2">
        <v>30</v>
      </c>
      <c r="B31" s="2" t="s">
        <v>37</v>
      </c>
      <c r="C31" s="6">
        <v>2.2000000000000002</v>
      </c>
      <c r="D31" s="5">
        <v>2.1800000000000002</v>
      </c>
      <c r="E31" s="3">
        <f t="shared" si="0"/>
        <v>9.0909090909091494E-3</v>
      </c>
      <c r="F31" s="8">
        <v>2.19</v>
      </c>
      <c r="G31" s="3">
        <f t="shared" si="1"/>
        <v>4.5454545454546302E-3</v>
      </c>
      <c r="H31" s="7">
        <v>2.19</v>
      </c>
      <c r="I31" s="3">
        <f t="shared" si="2"/>
        <v>4.5454545454546302E-3</v>
      </c>
    </row>
    <row r="32" spans="1:9" ht="15.5" x14ac:dyDescent="0.35">
      <c r="A32" s="2"/>
      <c r="B32" s="2"/>
      <c r="C32" s="2"/>
      <c r="D32" s="2"/>
      <c r="E32" s="2"/>
      <c r="F32" s="2"/>
      <c r="G32" s="2"/>
      <c r="H32" s="2"/>
      <c r="I32" s="2"/>
    </row>
  </sheetData>
  <autoFilter ref="A2:I31" xr:uid="{00000000-0009-0000-0000-000000000000}"/>
  <pageMargins left="0.74803149606299213" right="0.74803149606299213" top="0.98425196850393704" bottom="0.98425196850393704" header="0.51181102362204722" footer="0.51181102362204722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Прайс-лист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Сергій Янішевський</cp:lastModifiedBy>
  <cp:lastPrinted>2026-04-15T16:36:11Z</cp:lastPrinted>
  <dcterms:created xsi:type="dcterms:W3CDTF">2026-02-25T16:49:04Z</dcterms:created>
  <dcterms:modified xsi:type="dcterms:W3CDTF">2026-04-15T16:44:57Z</dcterms:modified>
</cp:coreProperties>
</file>